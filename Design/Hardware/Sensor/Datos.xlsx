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<sst xmlns="http://schemas.openxmlformats.org/spreadsheetml/2006/main" count="101" uniqueCount="67">
  <si>
    <t xml:space="preserve">Part</t>
  </si>
  <si>
    <t xml:space="preserve">SP1</t>
  </si>
  <si>
    <t xml:space="preserve">SP2</t>
  </si>
  <si>
    <t xml:space="preserve">SP3</t>
  </si>
  <si>
    <t xml:space="preserve">SP4</t>
  </si>
  <si>
    <t xml:space="preserve">SP5</t>
  </si>
  <si>
    <t xml:space="preserve">Size (mm)</t>
  </si>
  <si>
    <t xml:space="preserve">Shape</t>
  </si>
  <si>
    <t xml:space="preserve">External References</t>
  </si>
  <si>
    <t xml:space="preserve">Design specification</t>
  </si>
  <si>
    <t xml:space="preserve">unit</t>
  </si>
  <si>
    <t xml:space="preserve">Sensor case</t>
  </si>
  <si>
    <t xml:space="preserve">Sensor Holder</t>
  </si>
  <si>
    <t xml:space="preserve">Outer</t>
  </si>
  <si>
    <t xml:space="preserve">Height</t>
  </si>
  <si>
    <t xml:space="preserve">Subpart</t>
  </si>
  <si>
    <t xml:space="preserve">Parameter</t>
  </si>
  <si>
    <t xml:space="preserve">Max wavelength</t>
  </si>
  <si>
    <t xml:space="preserve">nm</t>
  </si>
  <si>
    <t xml:space="preserve">Base</t>
  </si>
  <si>
    <t xml:space="preserve">Camera</t>
  </si>
  <si>
    <t xml:space="preserve">PCB</t>
  </si>
  <si>
    <t xml:space="preserve">Min wavelength</t>
  </si>
  <si>
    <t xml:space="preserve">Thickness</t>
  </si>
  <si>
    <t xml:space="preserve">Max colimated light angle</t>
  </si>
  <si>
    <t xml:space="preserve">deg</t>
  </si>
  <si>
    <t xml:space="preserve">Angle</t>
  </si>
  <si>
    <t xml:space="preserve">wall Thickness</t>
  </si>
  <si>
    <t xml:space="preserve">mm</t>
  </si>
  <si>
    <t xml:space="preserve">Distance to origin</t>
  </si>
  <si>
    <t xml:space="preserve">Sensor casing</t>
  </si>
  <si>
    <t xml:space="preserve">tolerance</t>
  </si>
  <si>
    <t xml:space="preserve">inner</t>
  </si>
  <si>
    <t xml:space="preserve">min angle</t>
  </si>
  <si>
    <t xml:space="preserve">max angle</t>
  </si>
  <si>
    <t xml:space="preserve">Vertical center rel to bottom</t>
  </si>
  <si>
    <t xml:space="preserve">delta min max</t>
  </si>
  <si>
    <t xml:space="preserve">side</t>
  </si>
  <si>
    <t xml:space="preserve">Vertical center rel to top (socket)</t>
  </si>
  <si>
    <t xml:space="preserve">fraction of margin sensor as buffer</t>
  </si>
  <si>
    <t xml:space="preserve">Slit Holder</t>
  </si>
  <si>
    <t xml:space="preserve">wall thickness</t>
  </si>
  <si>
    <t xml:space="preserve">side margin</t>
  </si>
  <si>
    <t xml:space="preserve">fraction of sensor used</t>
  </si>
  <si>
    <t xml:space="preserve">Sensor</t>
  </si>
  <si>
    <t xml:space="preserve">N battery</t>
  </si>
  <si>
    <t xml:space="preserve">Battery per side</t>
  </si>
  <si>
    <t xml:space="preserve">slit aperture</t>
  </si>
  <si>
    <t xml:space="preserve">Slit</t>
  </si>
  <si>
    <t xml:space="preserve">Structure</t>
  </si>
  <si>
    <t xml:space="preserve">Distance between slits</t>
  </si>
  <si>
    <t xml:space="preserve">Connector to cell</t>
  </si>
  <si>
    <t xml:space="preserve">lateral socket</t>
  </si>
  <si>
    <t xml:space="preserve">Vertical Apterure</t>
  </si>
  <si>
    <t xml:space="preserve">Depth</t>
  </si>
  <si>
    <t xml:space="preserve">Horizontal aperture</t>
  </si>
  <si>
    <t xml:space="preserve">Distance from center</t>
  </si>
  <si>
    <t xml:space="preserve">Diffraction Gratting</t>
  </si>
  <si>
    <t xml:space="preserve">lines per mm</t>
  </si>
  <si>
    <t xml:space="preserve">opening for tube</t>
  </si>
  <si>
    <t xml:space="preserve">Front Cap</t>
  </si>
  <si>
    <t xml:space="preserve">Socket imput</t>
  </si>
  <si>
    <t xml:space="preserve">(from edge to edge)</t>
  </si>
  <si>
    <t xml:space="preserve">optical window</t>
  </si>
  <si>
    <t xml:space="preserve">Diameter</t>
  </si>
  <si>
    <t xml:space="preserve">Distance to center</t>
  </si>
  <si>
    <t xml:space="preserve">Battery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</si>
</sst>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N1" s="2" t="s">
        <v>9</v>
      </c>
      <c r="P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F2" s="0" t="s">
        <v>14</v>
      </c>
      <c r="G2" s="0" t="n">
        <f aca="false">2*L24</f>
        <v>46</v>
      </c>
      <c r="I2" s="0" t="s">
        <v>0</v>
      </c>
      <c r="J2" s="0" t="s">
        <v>15</v>
      </c>
      <c r="K2" s="0" t="s">
        <v>16</v>
      </c>
      <c r="N2" s="0" t="s">
        <v>17</v>
      </c>
      <c r="O2" s="0" t="n">
        <v>800</v>
      </c>
      <c r="P2" s="0" t="s">
        <v>18</v>
      </c>
    </row>
    <row r="3" customFormat="false" ht="12.8" hidden="false" customHeight="false" outlineLevel="0" collapsed="false">
      <c r="F3" s="0" t="s">
        <v>19</v>
      </c>
      <c r="G3" s="0" t="n">
        <f aca="false">L4+O5*2+O6</f>
        <v>29</v>
      </c>
      <c r="I3" s="0" t="s">
        <v>20</v>
      </c>
      <c r="J3" s="0" t="s">
        <v>21</v>
      </c>
      <c r="K3" s="0" t="s">
        <v>14</v>
      </c>
      <c r="L3" s="0" t="n">
        <v>23.7</v>
      </c>
      <c r="N3" s="0" t="s">
        <v>22</v>
      </c>
      <c r="O3" s="0" t="n">
        <v>350</v>
      </c>
      <c r="P3" s="0" t="s">
        <v>18</v>
      </c>
    </row>
    <row r="4" customFormat="false" ht="12.8" hidden="false" customHeight="false" outlineLevel="0" collapsed="false">
      <c r="F4" s="0" t="s">
        <v>23</v>
      </c>
      <c r="G4" s="0" t="n">
        <f aca="false">L5+2*O5+O6</f>
        <v>5.1</v>
      </c>
      <c r="K4" s="0" t="s">
        <v>19</v>
      </c>
      <c r="L4" s="0" t="n">
        <v>24.8</v>
      </c>
      <c r="N4" s="0" t="s">
        <v>24</v>
      </c>
      <c r="O4" s="0" t="n">
        <v>0.1</v>
      </c>
      <c r="P4" s="0" t="s">
        <v>25</v>
      </c>
    </row>
    <row r="5" customFormat="false" ht="12.8" hidden="false" customHeight="false" outlineLevel="0" collapsed="false">
      <c r="F5" s="0" t="s">
        <v>26</v>
      </c>
      <c r="G5" s="0" t="n">
        <f aca="false">O7+O9/2</f>
        <v>36.8087087344393</v>
      </c>
      <c r="K5" s="0" t="s">
        <v>23</v>
      </c>
      <c r="L5" s="0" t="n">
        <v>0.9</v>
      </c>
      <c r="N5" s="0" t="s">
        <v>27</v>
      </c>
      <c r="O5" s="0" t="n">
        <v>2</v>
      </c>
      <c r="P5" s="0" t="s">
        <v>28</v>
      </c>
    </row>
    <row r="6" customFormat="false" ht="12.8" hidden="false" customHeight="false" outlineLevel="0" collapsed="false">
      <c r="F6" s="0" t="s">
        <v>29</v>
      </c>
      <c r="G6" s="0" t="n">
        <f aca="false">L13*0.5*O11/TAN(Q9/2)</f>
        <v>6.09918880837985</v>
      </c>
      <c r="J6" s="0" t="s">
        <v>30</v>
      </c>
      <c r="K6" s="0" t="s">
        <v>19</v>
      </c>
      <c r="L6" s="0" t="n">
        <v>8.44</v>
      </c>
      <c r="N6" s="0" t="s">
        <v>31</v>
      </c>
      <c r="O6" s="0" t="n">
        <v>0.2</v>
      </c>
      <c r="P6" s="0" t="s">
        <v>28</v>
      </c>
    </row>
    <row r="7" customFormat="false" ht="12.8" hidden="false" customHeight="false" outlineLevel="0" collapsed="false">
      <c r="C7" s="0" t="s">
        <v>32</v>
      </c>
      <c r="F7" s="0" t="s">
        <v>14</v>
      </c>
      <c r="G7" s="0" t="n">
        <f aca="false">L9+L24</f>
        <v>36.42</v>
      </c>
      <c r="K7" s="0" t="s">
        <v>14</v>
      </c>
      <c r="L7" s="0" t="n">
        <v>8.4</v>
      </c>
      <c r="N7" s="0" t="s">
        <v>33</v>
      </c>
      <c r="O7" s="0" t="n">
        <f aca="false">ASIN(O3/$L$19)*180/PI()</f>
        <v>20.4873151147227</v>
      </c>
      <c r="P7" s="0" t="s">
        <v>25</v>
      </c>
      <c r="Q7" s="0" t="n">
        <f aca="false">ASIN(O3/$L$19)</f>
        <v>0.35757110364551</v>
      </c>
    </row>
    <row r="8" customFormat="false" ht="12.8" hidden="false" customHeight="false" outlineLevel="0" collapsed="false">
      <c r="F8" s="0" t="s">
        <v>19</v>
      </c>
      <c r="G8" s="0" t="n">
        <f aca="false">L4+$O$6</f>
        <v>25</v>
      </c>
      <c r="K8" s="0" t="s">
        <v>23</v>
      </c>
      <c r="L8" s="0" t="n">
        <v>3</v>
      </c>
      <c r="N8" s="0" t="s">
        <v>34</v>
      </c>
      <c r="O8" s="0" t="n">
        <f aca="false">ASIN(O2/$L$19)*180/PI()</f>
        <v>53.130102354156</v>
      </c>
      <c r="P8" s="0" t="s">
        <v>25</v>
      </c>
      <c r="Q8" s="0" t="n">
        <f aca="false">ASIN(O2/$L$19)</f>
        <v>0.927295218001612</v>
      </c>
    </row>
    <row r="9" customFormat="false" ht="12.8" hidden="false" customHeight="false" outlineLevel="0" collapsed="false">
      <c r="F9" s="0" t="s">
        <v>23</v>
      </c>
      <c r="G9" s="0" t="n">
        <f aca="false">L5+$O$6</f>
        <v>1.1</v>
      </c>
      <c r="K9" s="0" t="s">
        <v>35</v>
      </c>
      <c r="L9" s="0" t="n">
        <v>13.42</v>
      </c>
      <c r="N9" s="0" t="s">
        <v>36</v>
      </c>
      <c r="O9" s="0" t="n">
        <f aca="false">O8-O7</f>
        <v>32.6427872394333</v>
      </c>
      <c r="P9" s="0" t="s">
        <v>25</v>
      </c>
      <c r="Q9" s="0" t="n">
        <f aca="false">Q8-Q7</f>
        <v>0.569724114356102</v>
      </c>
    </row>
    <row r="10" customFormat="false" ht="12.8" hidden="false" customHeight="false" outlineLevel="0" collapsed="false">
      <c r="F10" s="0" t="s">
        <v>37</v>
      </c>
      <c r="G10" s="0" t="n">
        <f aca="false">L16</f>
        <v>1</v>
      </c>
      <c r="K10" s="0" t="s">
        <v>38</v>
      </c>
      <c r="L10" s="0" t="n">
        <f aca="false">L3-L9</f>
        <v>10.28</v>
      </c>
      <c r="N10" s="0" t="s">
        <v>39</v>
      </c>
      <c r="O10" s="0" t="n">
        <v>0.05</v>
      </c>
    </row>
    <row r="11" customFormat="false" ht="12.8" hidden="false" customHeight="false" outlineLevel="0" collapsed="false">
      <c r="B11" s="0" t="s">
        <v>40</v>
      </c>
      <c r="F11" s="0" t="s">
        <v>41</v>
      </c>
      <c r="G11" s="0" t="n">
        <f aca="false">O5*2+L16+O6</f>
        <v>5.2</v>
      </c>
      <c r="K11" s="0" t="s">
        <v>42</v>
      </c>
      <c r="L11" s="0" t="n">
        <v>1.2</v>
      </c>
      <c r="N11" s="0" t="s">
        <v>43</v>
      </c>
      <c r="O11" s="0" t="n">
        <f aca="false">1-O10</f>
        <v>0.95</v>
      </c>
    </row>
    <row r="12" customFormat="false" ht="12.8" hidden="false" customHeight="false" outlineLevel="0" collapsed="false">
      <c r="F12" s="0" t="s">
        <v>19</v>
      </c>
      <c r="G12" s="0" t="n">
        <f aca="false">L15+O6+O5*5</f>
        <v>20.2</v>
      </c>
      <c r="J12" s="0" t="s">
        <v>44</v>
      </c>
      <c r="K12" s="0" t="s">
        <v>14</v>
      </c>
      <c r="L12" s="0" t="n">
        <v>2.74</v>
      </c>
      <c r="N12" s="0" t="s">
        <v>45</v>
      </c>
      <c r="O12" s="0" t="n">
        <v>4</v>
      </c>
    </row>
    <row r="13" customFormat="false" ht="12.8" hidden="false" customHeight="false" outlineLevel="0" collapsed="false">
      <c r="F13" s="0" t="s">
        <v>14</v>
      </c>
      <c r="G13" s="0" t="n">
        <f aca="false">G2</f>
        <v>46</v>
      </c>
      <c r="K13" s="0" t="s">
        <v>19</v>
      </c>
      <c r="L13" s="0" t="n">
        <v>3.76</v>
      </c>
      <c r="N13" s="0" t="s">
        <v>46</v>
      </c>
      <c r="O13" s="0" t="n">
        <v>2</v>
      </c>
    </row>
    <row r="14" customFormat="false" ht="12.8" hidden="false" customHeight="false" outlineLevel="0" collapsed="false">
      <c r="F14" s="0" t="s">
        <v>47</v>
      </c>
      <c r="G14" s="0" t="n">
        <f aca="false">L15+O6</f>
        <v>10.2</v>
      </c>
      <c r="I14" s="0" t="s">
        <v>48</v>
      </c>
      <c r="J14" s="0" t="s">
        <v>49</v>
      </c>
      <c r="K14" s="0" t="s">
        <v>14</v>
      </c>
      <c r="L14" s="0" t="n">
        <f aca="false">L3</f>
        <v>23.7</v>
      </c>
    </row>
    <row r="15" customFormat="false" ht="12.8" hidden="false" customHeight="false" outlineLevel="0" collapsed="false">
      <c r="F15" s="0" t="s">
        <v>50</v>
      </c>
      <c r="G15" s="0" t="n">
        <f aca="false">L18/TAN(O4*PI()/180)</f>
        <v>34.3774328012573</v>
      </c>
      <c r="K15" s="0" t="s">
        <v>19</v>
      </c>
      <c r="L15" s="0" t="n">
        <f aca="false">10</f>
        <v>10</v>
      </c>
    </row>
    <row r="16" customFormat="false" ht="12.8" hidden="false" customHeight="false" outlineLevel="0" collapsed="false">
      <c r="B16" s="0" t="s">
        <v>51</v>
      </c>
      <c r="C16" s="0" t="s">
        <v>52</v>
      </c>
      <c r="F16" s="0" t="s">
        <v>14</v>
      </c>
      <c r="G16" s="0" t="n">
        <f aca="false">L20+O6</f>
        <v>26.2</v>
      </c>
      <c r="K16" s="0" t="s">
        <v>23</v>
      </c>
      <c r="L16" s="0" t="n">
        <v>1</v>
      </c>
    </row>
    <row r="17" customFormat="false" ht="12.8" hidden="false" customHeight="false" outlineLevel="0" collapsed="false">
      <c r="F17" s="0" t="s">
        <v>19</v>
      </c>
      <c r="G17" s="0" t="n">
        <f aca="false">L21+O6</f>
        <v>24.8</v>
      </c>
      <c r="K17" s="0" t="s">
        <v>53</v>
      </c>
      <c r="L17" s="0" t="n">
        <f aca="false">L12</f>
        <v>2.74</v>
      </c>
    </row>
    <row r="18" customFormat="false" ht="12.8" hidden="false" customHeight="false" outlineLevel="0" collapsed="false">
      <c r="F18" s="0" t="s">
        <v>54</v>
      </c>
      <c r="G18" s="0" t="n">
        <f aca="false">L22+O6</f>
        <v>10</v>
      </c>
      <c r="K18" s="0" t="s">
        <v>55</v>
      </c>
      <c r="L18" s="0" t="n">
        <f aca="false">0.06</f>
        <v>0.06</v>
      </c>
    </row>
    <row r="19" customFormat="false" ht="12.8" hidden="false" customHeight="false" outlineLevel="0" collapsed="false">
      <c r="F19" s="0" t="s">
        <v>56</v>
      </c>
      <c r="G19" s="0" t="n">
        <f aca="false">L23+1</f>
        <v>5</v>
      </c>
      <c r="I19" s="0" t="s">
        <v>57</v>
      </c>
      <c r="K19" s="0" t="s">
        <v>58</v>
      </c>
      <c r="L19" s="0" t="n">
        <v>1000</v>
      </c>
    </row>
    <row r="20" customFormat="false" ht="12.8" hidden="false" customHeight="false" outlineLevel="0" collapsed="false">
      <c r="D20" s="0" t="s">
        <v>59</v>
      </c>
      <c r="F20" s="0" t="s">
        <v>14</v>
      </c>
      <c r="G20" s="0" t="n">
        <f aca="false">1.5</f>
        <v>1.5</v>
      </c>
      <c r="I20" s="0" t="s">
        <v>60</v>
      </c>
      <c r="J20" s="0" t="s">
        <v>61</v>
      </c>
      <c r="K20" s="0" t="s">
        <v>14</v>
      </c>
      <c r="L20" s="0" t="n">
        <v>26</v>
      </c>
    </row>
    <row r="21" customFormat="false" ht="12.8" hidden="false" customHeight="false" outlineLevel="0" collapsed="false">
      <c r="F21" s="0" t="s">
        <v>19</v>
      </c>
      <c r="G21" s="0" t="n">
        <f aca="false">8.55</f>
        <v>8.55</v>
      </c>
      <c r="H21" s="0" t="s">
        <v>62</v>
      </c>
      <c r="K21" s="0" t="s">
        <v>19</v>
      </c>
      <c r="L21" s="0" t="n">
        <v>24.6</v>
      </c>
    </row>
    <row r="22" customFormat="false" ht="12.8" hidden="false" customHeight="false" outlineLevel="0" collapsed="false">
      <c r="F22" s="0" t="s">
        <v>54</v>
      </c>
      <c r="G22" s="0" t="n">
        <f aca="false">G18</f>
        <v>10</v>
      </c>
      <c r="K22" s="0" t="s">
        <v>23</v>
      </c>
      <c r="L22" s="0" t="n">
        <v>9.8</v>
      </c>
    </row>
    <row r="23" customFormat="false" ht="12.8" hidden="false" customHeight="false" outlineLevel="0" collapsed="false">
      <c r="C23" s="0" t="s">
        <v>63</v>
      </c>
      <c r="F23" s="0" t="s">
        <v>64</v>
      </c>
      <c r="G23" s="0" t="n">
        <v>5</v>
      </c>
      <c r="K23" s="0" t="s">
        <v>65</v>
      </c>
      <c r="L23" s="0" t="n">
        <v>4</v>
      </c>
    </row>
    <row r="24" customFormat="false" ht="12.8" hidden="false" customHeight="false" outlineLevel="0" collapsed="false">
      <c r="F24" s="0" t="s">
        <v>54</v>
      </c>
      <c r="G24" s="0" t="n">
        <v>5</v>
      </c>
      <c r="I24" s="0" t="s">
        <v>66</v>
      </c>
      <c r="K24" s="0" t="s">
        <v>14</v>
      </c>
      <c r="L24" s="0" t="n">
        <v>23</v>
      </c>
    </row>
    <row r="25" customFormat="false" ht="12.8" hidden="false" customHeight="false" outlineLevel="0" collapsed="false">
      <c r="K25" s="0" t="s">
        <v>19</v>
      </c>
      <c r="L25" s="0" t="n">
        <v>23</v>
      </c>
    </row>
    <row r="26" customFormat="false" ht="12.8" hidden="false" customHeight="false" outlineLevel="0" collapsed="false">
      <c r="K26" s="0" t="s">
        <v>23</v>
      </c>
      <c r="L26" s="0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2022-08-01T09:30:09Z</dcterms:created>
  <dc:creator/>
  <dc:description/>
  <dc:language>en-US</dc:language>
  <cp:lastModifiedBy/>
  <dcterms:modified xsi:type="dcterms:W3CDTF">2022-08-02T14:00:58Z</dcterms:modified>
  <cp:revision>4</cp:revision>
  <dc:subject/>
  <dc:title/>
</cp:coreProperties>
</file>